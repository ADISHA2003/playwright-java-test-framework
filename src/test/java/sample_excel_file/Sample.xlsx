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jar\Downloads\"/>
    </mc:Choice>
  </mc:AlternateContent>
  <xr:revisionPtr revIDLastSave="0" documentId="13_ncr:1_{91F7987F-D8CA-4CEF-94BB-DDE11B2D8E0E}" xr6:coauthVersionLast="47" xr6:coauthVersionMax="47" xr10:uidLastSave="{00000000-0000-0000-0000-000000000000}"/>
  <bookViews>
    <workbookView xWindow="-108" yWindow="-108" windowWidth="23256" windowHeight="12576" xr2:uid="{9579FA9F-E470-4F0B-A53C-AC5C36546E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4" i="1" l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<sst xmlns="http://schemas.openxmlformats.org/spreadsheetml/2006/main" count="55" uniqueCount="55">
  <si>
    <t>Advanced Microdevices Pvt. Ltd.</t>
  </si>
  <si>
    <t>Trivitron Healthcare Pvt. Ltd.</t>
  </si>
  <si>
    <t>Medico Electrodes International Ltd.</t>
  </si>
  <si>
    <t>Kanam Latex Industries Pvt. Ltd.</t>
  </si>
  <si>
    <t>Brawn Laboratories Ltd.</t>
  </si>
  <si>
    <t>Sensa Core Medical Instrumentation Pvt. Ltd.</t>
  </si>
  <si>
    <t>B L Lifesciences Pvt. Ltd.</t>
  </si>
  <si>
    <t>Accumax Lab Devices Pvt. Ltd.</t>
  </si>
  <si>
    <t>J Mitra and Co. Pvt. Ltd.</t>
  </si>
  <si>
    <t>Harsoria Healthcare Pvt. Ltd.</t>
  </si>
  <si>
    <t>MRK Healthcare Pvt. Ltd.</t>
  </si>
  <si>
    <t>Advy Chemical Pvt. Ltd.</t>
  </si>
  <si>
    <t>Global Medikit Ltd.</t>
  </si>
  <si>
    <t>Bio-Med Health Care Products Pvt. Ltd.</t>
  </si>
  <si>
    <t>Nebula Surgical Pvt. Ltd.</t>
  </si>
  <si>
    <t>Sterimed Medical Devices Pvt. Ltd.</t>
  </si>
  <si>
    <t>Auxein Medical Pvt. Ltd.</t>
  </si>
  <si>
    <t>Disposafe Health and Life Care Ltd.</t>
  </si>
  <si>
    <t>Mediplus (India) Ltd.</t>
  </si>
  <si>
    <t>Iscon Surgicals Ltd.</t>
  </si>
  <si>
    <t>Paramount Surgimed Ltd.</t>
  </si>
  <si>
    <t>Sisco Research Laboratories Pvt. Ltd.</t>
  </si>
  <si>
    <t>RFB Latex Ltd.</t>
  </si>
  <si>
    <t>Xcellance Medical Technologies Pvt. Ltd.</t>
  </si>
  <si>
    <t>Advanced Medtech Solutions Pvt. Ltd.</t>
  </si>
  <si>
    <t>Lars Medicare Pvt. Ltd.</t>
  </si>
  <si>
    <t>Beacon Diagnostics Pvt. Ltd.</t>
  </si>
  <si>
    <t>Futura Surgicare Pvt. Ltd.</t>
  </si>
  <si>
    <t>Yashraj Biotechnology Ltd.</t>
  </si>
  <si>
    <t>Newtech Medical Devices Pvt. Ltd.</t>
  </si>
  <si>
    <t>Nubeno Healthcare Pvt Ltd.</t>
  </si>
  <si>
    <t>Medicare Hygiene Ltd.</t>
  </si>
  <si>
    <t>Wrig Nanosystems Pvt. Ltd.</t>
  </si>
  <si>
    <t>Shree Umiya Surgicals Pvt. Ltd.</t>
  </si>
  <si>
    <t>GPC Medical Ltd.</t>
  </si>
  <si>
    <t>Bonetech Medisys Pvt. Ltd.</t>
  </si>
  <si>
    <t>Aegis Lifesciences Pvt. Ltd.</t>
  </si>
  <si>
    <t>Narang Medical Ltd.</t>
  </si>
  <si>
    <t>SURU International Pvt. Ltd.</t>
  </si>
  <si>
    <t>Pregna International Ltd.</t>
  </si>
  <si>
    <t>Aditya Dispomed Products Pvt. Ltd.</t>
  </si>
  <si>
    <t>Sigma Surgical Pvt. Ltd.</t>
  </si>
  <si>
    <t>Wellmed International Industries Pvt. Ltd.</t>
  </si>
  <si>
    <t>Ribbel International Ltd.</t>
  </si>
  <si>
    <t>Smit Medimed Pvt. Ltd.</t>
  </si>
  <si>
    <t>Remidio Innovative Solutions Pvt. Ltd.</t>
  </si>
  <si>
    <t>Jai Surgicals Ltd.</t>
  </si>
  <si>
    <t>Angiplast Pvt. Ltd.</t>
  </si>
  <si>
    <t>Clarity Medical Pvt. Ltd.</t>
  </si>
  <si>
    <t>Hardik International Pvt. Ltd.</t>
  </si>
  <si>
    <t>Nice Neotech Medical Systems Pvt. Ltd.</t>
  </si>
  <si>
    <t>Genes 2Me Pvt. Ltd.</t>
  </si>
  <si>
    <t>MJ Surgical</t>
  </si>
  <si>
    <t>Company Name</t>
  </si>
  <si>
    <t>Company Website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</si>
</sst>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9E504-8CFE-46A1-B876-FCFFCD488CBD}">
  <dimension ref="A1:B54"/>
  <sheetViews>
    <sheetView tabSelected="1" topLeftCell="A4" workbookViewId="0">
      <selection activeCell="A3" sqref="A3"/>
    </sheetView>
  </sheetViews>
  <sheetFormatPr defaultRowHeight="14.4" x14ac:dyDescent="0.3"/>
  <cols>
    <col min="1" max="1" width="32.109375" customWidth="1"/>
    <col min="2" max="2" width="18.5546875" bestFit="1" customWidth="1"/>
  </cols>
  <sheetData>
    <row r="1" spans="1:2" x14ac:dyDescent="0.3">
      <c r="A1" t="s">
        <v>53</v>
      </c>
      <c r="B1" t="s">
        <v>54</v>
      </c>
    </row>
    <row r="2" spans="1:2" x14ac:dyDescent="0.3">
      <c r="A2" t="s">
        <v>0</v>
      </c>
      <c r="B2" t="str">
        <f>HYPERLINK("http://www.mdimembrane.com", "http://www.mdimembrane.com")</f>
        <v>http://www.mdimembrane.com</v>
      </c>
    </row>
    <row r="3" spans="1:2" x14ac:dyDescent="0.3">
      <c r="A3" t="s">
        <v>1</v>
      </c>
      <c r="B3" t="str">
        <f>HYPERLINK("http://trivitron.com", "http://trivitron.com")</f>
        <v>http://trivitron.com</v>
      </c>
    </row>
    <row r="4" spans="1:2" x14ac:dyDescent="0.3">
      <c r="A4" t="s">
        <v>2</v>
      </c>
      <c r="B4" t="str">
        <f>HYPERLINK("http://www.medicoelectrodes.com", "http://www.medicoelectrodes.com")</f>
        <v>http://www.medicoelectrodes.com</v>
      </c>
    </row>
    <row r="5" spans="1:2" x14ac:dyDescent="0.3">
      <c r="A5" t="s">
        <v>3</v>
      </c>
      <c r="B5" t="str">
        <f>HYPERLINK("http://www.kanamlatex.com", "http://www.kanamlatex.com")</f>
        <v>http://www.kanamlatex.com</v>
      </c>
    </row>
    <row r="6" spans="1:2" x14ac:dyDescent="0.3">
      <c r="A6" t="s">
        <v>4</v>
      </c>
      <c r="B6" t="str">
        <f>HYPERLINK("http://www.brawnlabs.com", "http://www.brawnlabs.com")</f>
        <v>http://www.brawnlabs.com</v>
      </c>
    </row>
    <row r="7" spans="1:2" x14ac:dyDescent="0.3">
      <c r="A7" t="s">
        <v>5</v>
      </c>
      <c r="B7" t="str">
        <f>HYPERLINK("http://www.sensacore.com", "http://www.sensacore.com")</f>
        <v>http://www.sensacore.com</v>
      </c>
    </row>
    <row r="8" spans="1:2" x14ac:dyDescent="0.3">
      <c r="A8" t="s">
        <v>6</v>
      </c>
      <c r="B8" t="str">
        <f>HYPERLINK("http://www.bllifesciences.com", "http://www.bllifesciences.com")</f>
        <v>http://www.bllifesciences.com</v>
      </c>
    </row>
    <row r="9" spans="1:2" x14ac:dyDescent="0.3">
      <c r="A9" t="s">
        <v>7</v>
      </c>
      <c r="B9" t="str">
        <f>HYPERLINK("https://accumaximum.com", "https://accumaximum.com")</f>
        <v>https://accumaximum.com</v>
      </c>
    </row>
    <row r="10" spans="1:2" x14ac:dyDescent="0.3">
      <c r="A10" t="s">
        <v>8</v>
      </c>
      <c r="B10" t="str">
        <f>HYPERLINK("https://www.jmitra.co.in", "https://www.jmitra.co.in")</f>
        <v>https://www.jmitra.co.in</v>
      </c>
    </row>
    <row r="11" spans="1:2" x14ac:dyDescent="0.3">
      <c r="A11" t="s">
        <v>9</v>
      </c>
      <c r="B11" t="str">
        <f>HYPERLINK("http://www.harsoria.com", "http://www.harsoria.com")</f>
        <v>http://www.harsoria.com</v>
      </c>
    </row>
    <row r="12" spans="1:2" x14ac:dyDescent="0.3">
      <c r="A12" t="s">
        <v>10</v>
      </c>
      <c r="B12" t="str">
        <f>HYPERLINK("http://www.mrkhealthcare.com", "http://www.mrkhealthcare.com")</f>
        <v>http://www.mrkhealthcare.com</v>
      </c>
    </row>
    <row r="13" spans="1:2" x14ac:dyDescent="0.3">
      <c r="A13" t="s">
        <v>11</v>
      </c>
      <c r="B13" t="str">
        <f>HYPERLINK("http://www.advychemical.com", "http://www.advychemical.com")</f>
        <v>http://www.advychemical.com</v>
      </c>
    </row>
    <row r="14" spans="1:2" x14ac:dyDescent="0.3">
      <c r="A14" t="s">
        <v>12</v>
      </c>
      <c r="B14" t="str">
        <f>HYPERLINK("http://www.globalmedikit.in", "http://www.globalmedikit.in")</f>
        <v>http://www.globalmedikit.in</v>
      </c>
    </row>
    <row r="15" spans="1:2" x14ac:dyDescent="0.3">
      <c r="A15" t="s">
        <v>13</v>
      </c>
      <c r="B15" t="str">
        <f>HYPERLINK("http://www.biomedhealthcare.com", "http://www.biomedhealthcare.com")</f>
        <v>http://www.biomedhealthcare.com</v>
      </c>
    </row>
    <row r="16" spans="1:2" x14ac:dyDescent="0.3">
      <c r="A16" t="s">
        <v>14</v>
      </c>
      <c r="B16" t="str">
        <f>HYPERLINK("http://nebulasurgical.com", "http://nebulasurgical.com")</f>
        <v>http://nebulasurgical.com</v>
      </c>
    </row>
    <row r="17" spans="1:2" x14ac:dyDescent="0.3">
      <c r="A17" t="s">
        <v>15</v>
      </c>
      <c r="B17" t="str">
        <f>HYPERLINK("http://www.sterimeddisposables.com", "http://www.sterimeddisposables.com")</f>
        <v>http://www.sterimeddisposables.com</v>
      </c>
    </row>
    <row r="18" spans="1:2" x14ac:dyDescent="0.3">
      <c r="A18" t="s">
        <v>16</v>
      </c>
      <c r="B18" t="str">
        <f>HYPERLINK("http://www.auxeinmedical.com", "http://www.auxeinmedical.com")</f>
        <v>http://www.auxeinmedical.com</v>
      </c>
    </row>
    <row r="19" spans="1:2" x14ac:dyDescent="0.3">
      <c r="A19" t="s">
        <v>17</v>
      </c>
      <c r="B19" t="str">
        <f>HYPERLINK("http://www.disposafe.com", "http://www.disposafe.com")</f>
        <v>http://www.disposafe.com</v>
      </c>
    </row>
    <row r="20" spans="1:2" x14ac:dyDescent="0.3">
      <c r="A20" t="s">
        <v>18</v>
      </c>
      <c r="B20" t="str">
        <f>HYPERLINK("http://www.mediplusindialtd.com", "http://www.mediplusindialtd.com")</f>
        <v>http://www.mediplusindialtd.com</v>
      </c>
    </row>
    <row r="21" spans="1:2" x14ac:dyDescent="0.3">
      <c r="A21" t="s">
        <v>19</v>
      </c>
      <c r="B21" t="str">
        <f>HYPERLINK("http://www.isconsurgicals.net", "http://www.isconsurgicals.net")</f>
        <v>http://www.isconsurgicals.net</v>
      </c>
    </row>
    <row r="22" spans="1:2" x14ac:dyDescent="0.3">
      <c r="A22" t="s">
        <v>20</v>
      </c>
      <c r="B22" t="str">
        <f>HYPERLINK("http://www.paramountblades.com", "http://www.paramountblades.com")</f>
        <v>http://www.paramountblades.com</v>
      </c>
    </row>
    <row r="23" spans="1:2" x14ac:dyDescent="0.3">
      <c r="A23" t="s">
        <v>21</v>
      </c>
      <c r="B23" t="str">
        <f>HYPERLINK("http://www.srlchem.com", "http://www.srlchem.com")</f>
        <v>http://www.srlchem.com</v>
      </c>
    </row>
    <row r="24" spans="1:2" x14ac:dyDescent="0.3">
      <c r="A24" t="s">
        <v>22</v>
      </c>
      <c r="B24" t="str">
        <f>HYPERLINK("http://www.rfblatex.com", "http://www.rfblatex.com")</f>
        <v>http://www.rfblatex.com</v>
      </c>
    </row>
    <row r="25" spans="1:2" x14ac:dyDescent="0.3">
      <c r="A25" t="s">
        <v>23</v>
      </c>
      <c r="B25" t="str">
        <f>HYPERLINK("http://www.xcellancetech.com", "http://www.xcellancetech.com")</f>
        <v>http://www.xcellancetech.com</v>
      </c>
    </row>
    <row r="26" spans="1:2" x14ac:dyDescent="0.3">
      <c r="A26" t="s">
        <v>24</v>
      </c>
      <c r="B26" t="str">
        <f>HYPERLINK("http://amsltd.com", "http://amsltd.com")</f>
        <v>http://amsltd.com</v>
      </c>
    </row>
    <row r="27" spans="1:2" x14ac:dyDescent="0.3">
      <c r="A27" t="s">
        <v>25</v>
      </c>
      <c r="B27" t="str">
        <f>HYPERLINK("http://www.larsmedicare.com", "http://www.larsmedicare.com")</f>
        <v>http://www.larsmedicare.com</v>
      </c>
    </row>
    <row r="28" spans="1:2" x14ac:dyDescent="0.3">
      <c r="A28" t="s">
        <v>26</v>
      </c>
      <c r="B28" t="str">
        <f>HYPERLINK("https://www.beaconindia.com", "https://www.beaconindia.com")</f>
        <v>https://www.beaconindia.com</v>
      </c>
    </row>
    <row r="29" spans="1:2" x14ac:dyDescent="0.3">
      <c r="A29" t="s">
        <v>27</v>
      </c>
      <c r="B29" t="str">
        <f>HYPERLINK("http://www.dolphinsutures.com", "http://www.dolphinsutures.com")</f>
        <v>http://www.dolphinsutures.com</v>
      </c>
    </row>
    <row r="30" spans="1:2" x14ac:dyDescent="0.3">
      <c r="A30" t="s">
        <v>28</v>
      </c>
      <c r="B30" t="str">
        <f>HYPERLINK("http://www.yashraj.com", "http://www.yashraj.com")</f>
        <v>http://www.yashraj.com</v>
      </c>
    </row>
    <row r="31" spans="1:2" x14ac:dyDescent="0.3">
      <c r="A31" t="s">
        <v>29</v>
      </c>
      <c r="B31" t="str">
        <f>HYPERLINK("https://ntmdevices.com/", "https://ntmdevices.com/")</f>
        <v>https://ntmdevices.com/</v>
      </c>
    </row>
    <row r="32" spans="1:2" x14ac:dyDescent="0.3">
      <c r="A32" t="s">
        <v>30</v>
      </c>
      <c r="B32" t="str">
        <f>HYPERLINK("https://www.nubeno.in/", "https://www.nubeno.in/")</f>
        <v>https://www.nubeno.in/</v>
      </c>
    </row>
    <row r="33" spans="1:2" x14ac:dyDescent="0.3">
      <c r="A33" t="s">
        <v>31</v>
      </c>
      <c r="B33" t="str">
        <f>HYPERLINK("http://www.surgicaldressingmaterial.com", "http://www.surgicaldressingmaterial.com")</f>
        <v>http://www.surgicaldressingmaterial.com</v>
      </c>
    </row>
    <row r="34" spans="1:2" x14ac:dyDescent="0.3">
      <c r="A34" t="s">
        <v>32</v>
      </c>
      <c r="B34" t="str">
        <f>HYPERLINK("http://www.truehb.com", "http://www.truehb.com")</f>
        <v>http://www.truehb.com</v>
      </c>
    </row>
    <row r="35" spans="1:2" x14ac:dyDescent="0.3">
      <c r="A35" t="s">
        <v>33</v>
      </c>
      <c r="B35" t="str">
        <f>HYPERLINK("http://www.mediplusindia.com", "http://www.mediplusindia.com")</f>
        <v>http://www.mediplusindia.com</v>
      </c>
    </row>
    <row r="36" spans="1:2" x14ac:dyDescent="0.3">
      <c r="A36" t="s">
        <v>34</v>
      </c>
      <c r="B36" t="str">
        <f>HYPERLINK("https://www.gpcmedical.com", "https://www.gpcmedical.com")</f>
        <v>https://www.gpcmedical.com</v>
      </c>
    </row>
    <row r="37" spans="1:2" x14ac:dyDescent="0.3">
      <c r="A37" t="s">
        <v>35</v>
      </c>
      <c r="B37" t="str">
        <f>HYPERLINK("http://www.bonetechmedisys.com", "http://www.bonetechmedisys.com")</f>
        <v>http://www.bonetechmedisys.com</v>
      </c>
    </row>
    <row r="38" spans="1:2" x14ac:dyDescent="0.3">
      <c r="A38" t="s">
        <v>36</v>
      </c>
      <c r="B38" t="str">
        <f>HYPERLINK("http://www.aegis-lifesciences.com", "http://www.aegis-lifesciences.com")</f>
        <v>http://www.aegis-lifesciences.com</v>
      </c>
    </row>
    <row r="39" spans="1:2" x14ac:dyDescent="0.3">
      <c r="A39" t="s">
        <v>37</v>
      </c>
      <c r="B39" t="str">
        <f>HYPERLINK("http://www.narang.com", "http://www.narang.com")</f>
        <v>http://www.narang.com</v>
      </c>
    </row>
    <row r="40" spans="1:2" x14ac:dyDescent="0.3">
      <c r="A40" t="s">
        <v>38</v>
      </c>
      <c r="B40" t="str">
        <f>HYPERLINK("http://www.suru.com", "http://www.suru.com")</f>
        <v>http://www.suru.com</v>
      </c>
    </row>
    <row r="41" spans="1:2" x14ac:dyDescent="0.3">
      <c r="A41" t="s">
        <v>39</v>
      </c>
      <c r="B41" t="str">
        <f>HYPERLINK("http://www.pregna.com", "http://www.pregna.com")</f>
        <v>http://www.pregna.com</v>
      </c>
    </row>
    <row r="42" spans="1:2" x14ac:dyDescent="0.3">
      <c r="A42" t="s">
        <v>40</v>
      </c>
      <c r="B42" t="str">
        <f>HYPERLINK("http://www.adityadispomed.com", "http://www.adityadispomed.com")</f>
        <v>http://www.adityadispomed.com</v>
      </c>
    </row>
    <row r="43" spans="1:2" x14ac:dyDescent="0.3">
      <c r="A43" t="s">
        <v>41</v>
      </c>
      <c r="B43" t="str">
        <f>HYPERLINK("https://www.orthopedicimplantindia.com/", "https://www.orthopedicimplantindia.com/")</f>
        <v>https://www.orthopedicimplantindia.com/</v>
      </c>
    </row>
    <row r="44" spans="1:2" x14ac:dyDescent="0.3">
      <c r="A44" t="s">
        <v>42</v>
      </c>
      <c r="B44" t="str">
        <f>HYPERLINK("http://www.wellmedindia.com", "http://www.wellmedindia.com")</f>
        <v>http://www.wellmedindia.com</v>
      </c>
    </row>
    <row r="45" spans="1:2" x14ac:dyDescent="0.3">
      <c r="A45" t="s">
        <v>43</v>
      </c>
      <c r="B45" t="str">
        <f>HYPERLINK("http://www.ribbel.com", "http://www.ribbel.com")</f>
        <v>http://www.ribbel.com</v>
      </c>
    </row>
    <row r="46" spans="1:2" x14ac:dyDescent="0.3">
      <c r="A46" t="s">
        <v>44</v>
      </c>
      <c r="B46" t="str">
        <f>HYPERLINK("http://www.smitmedimed.com", "http://www.smitmedimed.com")</f>
        <v>http://www.smitmedimed.com</v>
      </c>
    </row>
    <row r="47" spans="1:2" x14ac:dyDescent="0.3">
      <c r="A47" t="s">
        <v>45</v>
      </c>
      <c r="B47" t="str">
        <f>HYPERLINK("http://www.remidio.com", "http://www.remidio.com")</f>
        <v>http://www.remidio.com</v>
      </c>
    </row>
    <row r="48" spans="1:2" x14ac:dyDescent="0.3">
      <c r="A48" t="s">
        <v>46</v>
      </c>
      <c r="B48" t="str">
        <f>HYPERLINK("http://www.jaisurgicals.com", "http://www.jaisurgicals.com")</f>
        <v>http://www.jaisurgicals.com</v>
      </c>
    </row>
    <row r="49" spans="1:2" x14ac:dyDescent="0.3">
      <c r="A49" t="s">
        <v>47</v>
      </c>
      <c r="B49" t="str">
        <f>HYPERLINK("http://angiplast.com", "http://angiplast.com")</f>
        <v>http://angiplast.com</v>
      </c>
    </row>
    <row r="50" spans="1:2" x14ac:dyDescent="0.3">
      <c r="A50" t="s">
        <v>48</v>
      </c>
      <c r="B50" t="str">
        <f>HYPERLINK("http://www.clarity-medical.com", "http://www.clarity-medical.com")</f>
        <v>http://www.clarity-medical.com</v>
      </c>
    </row>
    <row r="51" spans="1:2" x14ac:dyDescent="0.3">
      <c r="A51" t="s">
        <v>49</v>
      </c>
      <c r="B51" t="str">
        <f>HYPERLINK("http://www.hardikinternational.com", "http://www.hardikinternational.com")</f>
        <v>http://www.hardikinternational.com</v>
      </c>
    </row>
    <row r="52" spans="1:2" x14ac:dyDescent="0.3">
      <c r="A52" t="s">
        <v>50</v>
      </c>
      <c r="B52" t="str">
        <f>HYPERLINK("http://www.niceneotech.com", "http://www.niceneotech.com")</f>
        <v>http://www.niceneotech.com</v>
      </c>
    </row>
    <row r="53" spans="1:2" x14ac:dyDescent="0.3">
      <c r="A53" t="s">
        <v>51</v>
      </c>
      <c r="B53" t="str">
        <f>HYPERLINK("https://www.genes2me.com", "https://www.genes2me.com")</f>
        <v>https://www.genes2me.com</v>
      </c>
    </row>
    <row r="54" spans="1:2" x14ac:dyDescent="0.3">
      <c r="A54" t="s">
        <v>52</v>
      </c>
      <c r="B54" t="str">
        <f>HYPERLINK("https://www.mjsurgical.com", "https://www.mjsurgical.com")</f>
        <v>https://www.mjsurgical.com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 Arora</dc:creator>
  <cp:lastModifiedBy>Raj Arora</cp:lastModifiedBy>
  <dcterms:created xsi:type="dcterms:W3CDTF">2025-12-26T10:51:27Z</dcterms:created>
  <dcterms:modified xsi:type="dcterms:W3CDTF">2025-12-29T04:20:08Z</dcterms:modified>
</cp:coreProperties>
</file>